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BF35B5AE-C105-4D56-BDED-69D9786E77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0" i="1"/>
  <c r="F31" i="1"/>
  <c r="F32" i="1"/>
</calcChain>
</file>

<file path=xl/sharedStrings.xml><?xml version="1.0" encoding="utf-8"?>
<sst xmlns="http://schemas.openxmlformats.org/spreadsheetml/2006/main" count="79" uniqueCount="63">
  <si>
    <t>Контроль вимог / DoD</t>
  </si>
  <si>
    <t>Показник</t>
  </si>
  <si>
    <t>Значення</t>
  </si>
  <si>
    <t>DoD</t>
  </si>
  <si>
    <t>Статус</t>
  </si>
  <si>
    <t>Stories</t>
  </si>
  <si>
    <t>≥12 stories</t>
  </si>
  <si>
    <t>Виконано</t>
  </si>
  <si>
    <t>High</t>
  </si>
  <si>
    <t>Ролі з легенди</t>
  </si>
  <si>
    <t>Medium</t>
  </si>
  <si>
    <t>Traceability 1–6</t>
  </si>
  <si>
    <t>Low</t>
  </si>
  <si>
    <t>Product Backlog — кредитний калькулятор та онлайн-заявка</t>
  </si>
  <si>
    <t>Номер</t>
  </si>
  <si>
    <t>User Story</t>
  </si>
  <si>
    <t>Пріоритет</t>
  </si>
  <si>
    <t xml:space="preserve">Примітки </t>
  </si>
  <si>
    <t>Очікування</t>
  </si>
  <si>
    <t>US-01</t>
  </si>
  <si>
    <t>Як Клієнт, я хочу ввести суму кредиту, строк у місяцях і ставку, щоб побачити щомісячний ануїтетний платіж і загальну переплату</t>
  </si>
  <si>
    <t>Сума: 1 000–1 000 000 грн; строк: 1–60 міс.; ставка: 0–100%; перевірити порожні/нечислові/від’ємні значення; округлення до копійок; окремо ставка 0%.</t>
  </si>
  <si>
    <t>US-02</t>
  </si>
  <si>
    <t>Як Клієнт, я хочу бачити графік платежів за місяцями, щоб розуміти дату платежу, частину тіла кредиту, відсотки та залишок</t>
  </si>
  <si>
    <t>Для кожного місяця перевірити: дата, тіло кредиту, відсотки, залишок; кількість рядків = строку кредиту; останній залишок = 0 з урахуванням округлення.</t>
  </si>
  <si>
    <t>US-03</t>
  </si>
  <si>
    <t>Як Клієнт, я хочу отримувати зрозуміле пояснення, коли сума, строк або ставка виходять за ліміти банку, щоб одразу виправити введені дані</t>
  </si>
  <si>
    <t>Сума &lt;1 000 або &gt;1 000 000; строк &lt;1 або &gt;60; ставка &lt;0 або &gt;100; порожні й нечислові значення; повідомлення має вказувати конкретну причину.</t>
  </si>
  <si>
    <t>US-04</t>
  </si>
  <si>
    <t>Як Клієнт, я хочу змінювати суму, строк і ставку та одразу бачити перерахований платіж і переплату, щоб порівнювати варіанти кредиту</t>
  </si>
  <si>
    <t>Перерахунок без перезавантаження; перевірити зміну кожного параметра окремо та разом; результат відповідає формулі й коректно округлюється.</t>
  </si>
  <si>
    <t>US-05</t>
  </si>
  <si>
    <t>Як Клієнт, я хочу подати заявку безпосередньо з кредитного калькулятора, щоб не вводити параметри кредиту повторно</t>
  </si>
  <si>
    <t>У заявку переносяться сума, строк і ставка з калькулятора; перевірити обов’язкові дані клієнта; дублювання заявки при повторному натисканні не допускається.</t>
  </si>
  <si>
    <t>US-06</t>
  </si>
  <si>
    <t>Як Клієнт, я хочу за кілька секунд побачити попереднє рішення за заявкою, щоб розуміти, чи кредит попередньо схвалений або потребує ручного розгляду</t>
  </si>
  <si>
    <t>Перевірити результати скорингу: «схвалено», «відмовлено», «гранична оцінка → ручний розгляд»; цільовий час відповіді ≤5 с; зрозумілий текст рішення.</t>
  </si>
  <si>
    <t>US-07</t>
  </si>
  <si>
    <t>Як Ризик-менеджер, я хочу бачити заявки, що потребують ручного розгляду, разом із результатом автоматичного скорингу, щоб приймати обґрунтоване рішення</t>
  </si>
  <si>
    <t>У черзі лише заявки для ручного розгляду; поруч відображається результат/оцінка скорингу; перевірити доступ лише для ролі «Ризик-менеджер».</t>
  </si>
  <si>
    <t>US-08</t>
  </si>
  <si>
    <t>Як Ризик-менеджер, я хочу бачити параметри заявки та результат скорингу в одному поданні, щоб не шукати дані в різних екранах</t>
  </si>
  <si>
    <t>Поля: дані клієнта, сума, строк, ставка, дата подання, результат скорингу; перевірити відсутні дані та коректність відображення граничних значень.</t>
  </si>
  <si>
    <t>US-09</t>
  </si>
  <si>
    <t>Як Ризик-менеджер, я хочу зафіксувати рішення щодо заявки після ручного розгляду, щоб її статус був оновлений для клієнта</t>
  </si>
  <si>
    <t>Дозволені рішення: схвалити/відмовити; рішення зберігається один раз, містить дату/час; після рішення статус заявки змінюється.</t>
  </si>
  <si>
    <t>5, 6</t>
  </si>
  <si>
    <t>US-10</t>
  </si>
  <si>
    <t>Як Клієнт, я хочу бачити поточний статус своєї кредитної заявки в особистому кабінеті, щоб знати етап її розгляду</t>
  </si>
  <si>
    <t>Перевірити статуси відповідно до процесу: подано, автоматичний розгляд, ручний розгляд, схвалено/відмовлено, очікує підтвердження; чужі заявки недоступні.</t>
  </si>
  <si>
    <t>US-11</t>
  </si>
  <si>
    <t>Як Клієнт, я хочу отримувати повідомлення про зміну статусу заявки, щоб не перевіряти кабінет вручну</t>
  </si>
  <si>
    <t>Повідомлення надсилається після фактичної зміни статусу; перевірити відсутність дублювання та відповідність тексту новому статусу.</t>
  </si>
  <si>
    <t>US-12</t>
  </si>
  <si>
    <t>Як Операціоніст, я хочу змінювати статус заявки після операційної перевірки або підтвердження, щоб клієнт бачив актуальний стан заявки</t>
  </si>
  <si>
    <t>Операціоніст бачить лише дозволені для його етапу заявки; зміна статусу фіксується; після зміни клієнт бачить новий статус і отримує повідомлення.</t>
  </si>
  <si>
    <t>US-13</t>
  </si>
  <si>
    <t>Як Адміністратор, я хочу налаштовувати допустимі межі суми, строку та ставки, щоб калькулятор і валідація відповідали чинним правилам банку</t>
  </si>
  <si>
    <t>Перевірити застосування нових меж без зміни формули; мінімум не може перевищувати максимум; некоректна конфігурація не повинна публікуватися.</t>
  </si>
  <si>
    <t>1, 3</t>
  </si>
  <si>
    <t>US-14</t>
  </si>
  <si>
    <t>Як Клієнт, я хочу бачити допустимі межі суми, строку та ставки біля полів калькулятора, щоб вводити коректні значення з першої спроби</t>
  </si>
  <si>
    <t>Підказки відповідають чинним банківським межам; після зміни конфігурації адміністратором відображаються актуальні значення.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</si>
</sst>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b/>
      <sz val="10"/>
      <color rgb="FF2E6B3B"/>
      <name val="Arial"/>
    </font>
    <font>
      <b/>
      <sz val="12"/>
      <color rgb="FFFFFFFF"/>
      <name val="Arial"/>
      <scheme val="minor"/>
    </font>
    <font>
      <sz val="11"/>
      <color rgb="FFFFFFFF"/>
      <name val="Calibri"/>
    </font>
    <font>
      <sz val="10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2F6F73"/>
      </patternFill>
    </fill>
    <fill>
      <patternFill patternType="solid">
        <fgColor rgb="FF9EC3C8"/>
      </patternFill>
    </fill>
    <fill>
      <patternFill patternType="solid">
        <fgColor rgb="FFF3F6F7"/>
      </patternFill>
    </fill>
    <fill>
      <patternFill patternType="solid">
        <fgColor rgb="FFEEF7ED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B6D7A8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 applyFont="1" applyAlignment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2" xfId="0" applyFont="1" applyFill="1" applyBorder="1"/>
    <xf numFmtId="0" fontId="2" fillId="3" borderId="6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2" fillId="3" borderId="7" xfId="0" applyFont="1" applyFill="1" applyBorder="1"/>
    <xf numFmtId="0" fontId="2" fillId="3" borderId="9" xfId="0" applyFont="1" applyFill="1" applyBorder="1"/>
    <xf numFmtId="0" fontId="2" fillId="3" borderId="8" xfId="0" applyFont="1" applyFill="1" applyBorder="1"/>
    <xf numFmtId="0" fontId="4" fillId="6" borderId="0" xfId="1" applyFont="1" applyFill="1" applyAlignment="1">
      <alignment horizontal="center"/>
    </xf>
    <xf numFmtId="0" fontId="0" fillId="7" borderId="0" xfId="1" applyFont="1" applyFill="1"/>
    <xf numFmtId="0" fontId="0" fillId="8" borderId="0" xfId="1" applyFont="1" applyFill="1"/>
    <xf numFmtId="0" fontId="6" fillId="8" borderId="0" xfId="1" applyFont="1" applyFill="1"/>
    <xf numFmtId="0" fontId="5" fillId="5" borderId="0" xfId="1" applyFont="1" applyFill="1" applyAlignment="1">
      <alignment horizontal="center"/>
    </xf>
    <xf numFmtId="0" fontId="0" fillId="9" borderId="2" xfId="0" applyFont="1" applyFill="1" applyBorder="1" applyAlignment="1"/>
    <xf numFmtId="0" fontId="1" fillId="11" borderId="0" xfId="0" applyFont="1" applyFill="1" applyBorder="1" applyAlignment="1">
      <alignment wrapText="1"/>
    </xf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8" fillId="10" borderId="0" xfId="0" applyFont="1" applyFill="1" applyBorder="1" applyAlignment="1">
      <alignment wrapText="1"/>
    </xf>
    <xf numFmtId="0" fontId="9" fillId="10" borderId="0" xfId="0" applyFont="1" applyFill="1" applyBorder="1" applyAlignment="1">
      <alignment wrapText="1"/>
    </xf>
    <xf numFmtId="0" fontId="7" fillId="9" borderId="4" xfId="0" applyFont="1" applyFill="1" applyBorder="1" applyAlignment="1"/>
    <xf numFmtId="0" fontId="0" fillId="9" borderId="6" xfId="0" applyFont="1" applyFill="1" applyBorder="1" applyAlignment="1"/>
    <xf numFmtId="0" fontId="1" fillId="15" borderId="0" xfId="0" applyFont="1" applyFill="1" applyBorder="1" applyAlignment="1">
      <alignment wrapText="1"/>
    </xf>
    <xf numFmtId="0" fontId="3" fillId="15" borderId="0" xfId="0" applyFont="1" applyFill="1" applyBorder="1" applyAlignment="1">
      <alignment wrapText="1"/>
    </xf>
    <xf numFmtId="0" fontId="3" fillId="11" borderId="0" xfId="0" applyFont="1" applyFill="1" applyBorder="1" applyAlignment="1">
      <alignment wrapText="1"/>
    </xf>
  </cellXfs>
  <cellStyles count="2">
    <cellStyle name="Normal" xfId="1" xr:uid="{CE4E05B9-9283-4BFA-9765-7C38A885C3E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D7:O48"/>
  <sheetViews>
    <sheetView tabSelected="1" topLeftCell="B21" workbookViewId="0">
      <selection activeCell="E34" sqref="E34:J49"/>
    </sheetView>
  </sheetViews>
  <sheetFormatPr defaultColWidth="12.5703125" defaultRowHeight="15.75" customHeight="1"/>
  <sheetData>
    <row r="7" spans="4:15" ht="12.75">
      <c r="D7" s="1"/>
      <c r="E7" s="2"/>
      <c r="F7" s="3"/>
    </row>
    <row r="8" spans="4:15" ht="12.75">
      <c r="D8" s="4"/>
      <c r="E8" s="5"/>
      <c r="F8" s="5"/>
      <c r="G8" s="4"/>
      <c r="H8" s="4"/>
      <c r="I8" s="4"/>
      <c r="J8" s="4"/>
      <c r="K8" s="4"/>
      <c r="L8" s="4"/>
      <c r="M8" s="4"/>
      <c r="N8" s="4"/>
      <c r="O8" s="6"/>
    </row>
    <row r="9" spans="4:15" ht="12.75"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</row>
    <row r="10" spans="4:15" ht="12.75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9"/>
    </row>
    <row r="11" spans="4:15" ht="12.75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4:15" ht="12.75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9"/>
    </row>
    <row r="13" spans="4:15" ht="12.75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4:15" ht="12.75"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9"/>
    </row>
    <row r="15" spans="4:15" ht="12.75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4:15" ht="12.75"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9"/>
    </row>
    <row r="17" spans="4:15" ht="12.75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8" spans="4:15" ht="12.75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9"/>
    </row>
    <row r="19" spans="4:15" ht="12.75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spans="4:15" ht="12.7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7" spans="4:15" ht="15.75" customHeight="1">
      <c r="E27" s="16" t="s">
        <v>0</v>
      </c>
      <c r="F27" s="16"/>
      <c r="G27" s="16"/>
      <c r="H27" s="16"/>
    </row>
    <row r="28" spans="4:15" ht="15.75" customHeight="1">
      <c r="E28" s="12" t="s">
        <v>1</v>
      </c>
      <c r="F28" s="12" t="s">
        <v>2</v>
      </c>
      <c r="G28" s="12" t="s">
        <v>3</v>
      </c>
      <c r="H28" s="12" t="s">
        <v>4</v>
      </c>
    </row>
    <row r="29" spans="4:15" ht="15.75" customHeight="1">
      <c r="E29" s="13" t="s">
        <v>5</v>
      </c>
      <c r="F29" s="13">
        <f>COUNTA(E35:E48)</f>
        <v>14</v>
      </c>
      <c r="G29" s="14" t="s">
        <v>6</v>
      </c>
      <c r="H29" s="15" t="s">
        <v>7</v>
      </c>
    </row>
    <row r="30" spans="4:15" ht="15.75" customHeight="1">
      <c r="E30" s="13" t="s">
        <v>8</v>
      </c>
      <c r="F30" s="13">
        <f>COUNTIF(G35:G48,"High")</f>
        <v>8</v>
      </c>
      <c r="G30" s="14" t="s">
        <v>9</v>
      </c>
      <c r="H30" s="15" t="s">
        <v>7</v>
      </c>
    </row>
    <row r="31" spans="4:15" ht="15.75" customHeight="1">
      <c r="E31" s="13" t="s">
        <v>10</v>
      </c>
      <c r="F31" s="13">
        <f>COUNTIF(G35:G48,"Medium")</f>
        <v>5</v>
      </c>
      <c r="G31" s="14" t="s">
        <v>11</v>
      </c>
      <c r="H31" s="15" t="s">
        <v>7</v>
      </c>
    </row>
    <row r="32" spans="4:15" ht="15.75" customHeight="1">
      <c r="E32" s="13" t="s">
        <v>12</v>
      </c>
      <c r="F32" s="13">
        <f>COUNTIF(G35:G48,"Low")</f>
        <v>1</v>
      </c>
    </row>
    <row r="33" spans="5:10" ht="15.75" customHeight="1">
      <c r="E33" s="24" t="s">
        <v>13</v>
      </c>
      <c r="F33" s="25"/>
      <c r="G33" s="25"/>
      <c r="H33" s="25"/>
      <c r="I33" s="25"/>
      <c r="J33" s="17"/>
    </row>
    <row r="34" spans="5:10" ht="15.75" customHeight="1">
      <c r="E34" s="22" t="s">
        <v>14</v>
      </c>
      <c r="F34" s="22" t="s">
        <v>15</v>
      </c>
      <c r="G34" s="22" t="s">
        <v>16</v>
      </c>
      <c r="H34" s="22" t="s">
        <v>17</v>
      </c>
      <c r="I34" s="23" t="s">
        <v>18</v>
      </c>
    </row>
    <row r="35" spans="5:10" ht="15.75" customHeight="1">
      <c r="E35" s="26" t="s">
        <v>19</v>
      </c>
      <c r="F35" s="26" t="s">
        <v>20</v>
      </c>
      <c r="G35" s="19" t="s">
        <v>8</v>
      </c>
      <c r="H35" s="26" t="s">
        <v>21</v>
      </c>
      <c r="I35" s="27">
        <v>1</v>
      </c>
    </row>
    <row r="36" spans="5:10" ht="15.75" customHeight="1">
      <c r="E36" s="18" t="s">
        <v>22</v>
      </c>
      <c r="F36" s="18" t="s">
        <v>23</v>
      </c>
      <c r="G36" s="19" t="s">
        <v>8</v>
      </c>
      <c r="H36" s="18" t="s">
        <v>24</v>
      </c>
      <c r="I36" s="28">
        <v>2</v>
      </c>
    </row>
    <row r="37" spans="5:10" ht="15.75" customHeight="1">
      <c r="E37" s="26" t="s">
        <v>25</v>
      </c>
      <c r="F37" s="26" t="s">
        <v>26</v>
      </c>
      <c r="G37" s="19" t="s">
        <v>8</v>
      </c>
      <c r="H37" s="26" t="s">
        <v>27</v>
      </c>
      <c r="I37" s="27">
        <v>3</v>
      </c>
    </row>
    <row r="38" spans="5:10" ht="15.75" customHeight="1">
      <c r="E38" s="18" t="s">
        <v>28</v>
      </c>
      <c r="F38" s="18" t="s">
        <v>29</v>
      </c>
      <c r="G38" s="20" t="s">
        <v>10</v>
      </c>
      <c r="H38" s="18" t="s">
        <v>30</v>
      </c>
      <c r="I38" s="28">
        <v>1</v>
      </c>
    </row>
    <row r="39" spans="5:10" ht="15.75" customHeight="1">
      <c r="E39" s="26" t="s">
        <v>31</v>
      </c>
      <c r="F39" s="26" t="s">
        <v>32</v>
      </c>
      <c r="G39" s="19" t="s">
        <v>8</v>
      </c>
      <c r="H39" s="26" t="s">
        <v>33</v>
      </c>
      <c r="I39" s="27">
        <v>4</v>
      </c>
    </row>
    <row r="40" spans="5:10" ht="15.75" customHeight="1">
      <c r="E40" s="18" t="s">
        <v>34</v>
      </c>
      <c r="F40" s="18" t="s">
        <v>35</v>
      </c>
      <c r="G40" s="19" t="s">
        <v>8</v>
      </c>
      <c r="H40" s="18" t="s">
        <v>36</v>
      </c>
      <c r="I40" s="28">
        <v>4</v>
      </c>
    </row>
    <row r="41" spans="5:10" ht="15.75" customHeight="1">
      <c r="E41" s="26" t="s">
        <v>37</v>
      </c>
      <c r="F41" s="26" t="s">
        <v>38</v>
      </c>
      <c r="G41" s="19" t="s">
        <v>8</v>
      </c>
      <c r="H41" s="26" t="s">
        <v>39</v>
      </c>
      <c r="I41" s="27">
        <v>5</v>
      </c>
    </row>
    <row r="42" spans="5:10" ht="15.75" customHeight="1">
      <c r="E42" s="18" t="s">
        <v>40</v>
      </c>
      <c r="F42" s="18" t="s">
        <v>41</v>
      </c>
      <c r="G42" s="20" t="s">
        <v>10</v>
      </c>
      <c r="H42" s="18" t="s">
        <v>42</v>
      </c>
      <c r="I42" s="28">
        <v>5</v>
      </c>
    </row>
    <row r="43" spans="5:10" ht="15.75" customHeight="1">
      <c r="E43" s="26" t="s">
        <v>43</v>
      </c>
      <c r="F43" s="26" t="s">
        <v>44</v>
      </c>
      <c r="G43" s="19" t="s">
        <v>8</v>
      </c>
      <c r="H43" s="26" t="s">
        <v>45</v>
      </c>
      <c r="I43" s="27" t="s">
        <v>46</v>
      </c>
    </row>
    <row r="44" spans="5:10" ht="15.75" customHeight="1">
      <c r="E44" s="18" t="s">
        <v>47</v>
      </c>
      <c r="F44" s="18" t="s">
        <v>48</v>
      </c>
      <c r="G44" s="19" t="s">
        <v>8</v>
      </c>
      <c r="H44" s="18" t="s">
        <v>49</v>
      </c>
      <c r="I44" s="28">
        <v>6</v>
      </c>
    </row>
    <row r="45" spans="5:10" ht="15.75" customHeight="1">
      <c r="E45" s="26" t="s">
        <v>50</v>
      </c>
      <c r="F45" s="26" t="s">
        <v>51</v>
      </c>
      <c r="G45" s="20" t="s">
        <v>10</v>
      </c>
      <c r="H45" s="26" t="s">
        <v>52</v>
      </c>
      <c r="I45" s="27">
        <v>6</v>
      </c>
    </row>
    <row r="46" spans="5:10" ht="15.75" customHeight="1">
      <c r="E46" s="18" t="s">
        <v>53</v>
      </c>
      <c r="F46" s="18" t="s">
        <v>54</v>
      </c>
      <c r="G46" s="20" t="s">
        <v>10</v>
      </c>
      <c r="H46" s="18" t="s">
        <v>55</v>
      </c>
      <c r="I46" s="28">
        <v>6</v>
      </c>
    </row>
    <row r="47" spans="5:10" ht="15.75" customHeight="1">
      <c r="E47" s="27" t="s">
        <v>56</v>
      </c>
      <c r="F47" s="27" t="s">
        <v>57</v>
      </c>
      <c r="G47" s="20" t="s">
        <v>10</v>
      </c>
      <c r="H47" s="27" t="s">
        <v>58</v>
      </c>
      <c r="I47" s="27" t="s">
        <v>59</v>
      </c>
    </row>
    <row r="48" spans="5:10" ht="15.75" customHeight="1">
      <c r="E48" s="18" t="s">
        <v>60</v>
      </c>
      <c r="F48" s="18" t="s">
        <v>61</v>
      </c>
      <c r="G48" s="21" t="s">
        <v>12</v>
      </c>
      <c r="H48" s="18" t="s">
        <v>62</v>
      </c>
      <c r="I48" s="18">
        <v>3</v>
      </c>
    </row>
  </sheetData>
  <mergeCells count="1">
    <mergeCell ref="E27:H27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2026-10-01T04:06:16Z</dcterms:created>
  <dcterms:modified xsi:type="dcterms:W3CDTF">2026-10-01T04:51:53Z</dcterms:modified>
  <cp:category/>
  <cp:contentStatus/>
</cp:coreProperties>
</file>